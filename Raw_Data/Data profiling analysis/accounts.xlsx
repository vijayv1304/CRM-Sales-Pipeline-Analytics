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 Projects\CRM_Sales_Pipeline_Analytics\Raw_Data\"/>
    </mc:Choice>
  </mc:AlternateContent>
  <xr:revisionPtr revIDLastSave="0" documentId="13_ncr:1_{6C63F3DA-6D1E-4E46-8595-B194EAED81E1}" xr6:coauthVersionLast="47" xr6:coauthVersionMax="47" xr10:uidLastSave="{00000000-0000-0000-0000-000000000000}"/>
  <bookViews>
    <workbookView xWindow="-108" yWindow="-108" windowWidth="23256" windowHeight="12456" xr2:uid="{C559C777-0369-4ABF-AFC2-D3DE85510D6E}"/>
  </bookViews>
  <sheets>
    <sheet name="accounts" sheetId="1" r:id="rId1"/>
    <sheet name="pivot" sheetId="3" r:id="rId2"/>
    <sheet name="Data Profile" sheetId="2" r:id="rId3"/>
  </sheets>
  <calcPr calcId="191029"/>
  <pivotCaches>
    <pivotCache cacheId="12" r:id="rId4"/>
  </pivotCaches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F13" i="2"/>
  <c r="F14" i="2"/>
  <c r="F10" i="2"/>
  <c r="E10" i="2"/>
  <c r="F6" i="2"/>
  <c r="E6" i="2"/>
  <c r="F2" i="2"/>
  <c r="E2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<sst xmlns="http://schemas.openxmlformats.org/spreadsheetml/2006/main" count="338" uniqueCount="133">
  <si>
    <t>account</t>
  </si>
  <si>
    <t>sector</t>
  </si>
  <si>
    <t>year_established</t>
  </si>
  <si>
    <t>revenue</t>
  </si>
  <si>
    <t>employees</t>
  </si>
  <si>
    <t>office_location</t>
  </si>
  <si>
    <t>subsidiary_of</t>
  </si>
  <si>
    <t>Acme Corporation</t>
  </si>
  <si>
    <t>technolgy</t>
  </si>
  <si>
    <t>United States</t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</si>
  <si>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</si>
  <si>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</si>
  <si>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</si>
  <si>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</si>
  <si>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</si>
  <si>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</si>
  <si>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</si>
  <si>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</si>
  <si>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</si>
  <si>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</si>
  <si>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</si>
  <si>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</si>
  <si>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</si>
  <si>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</si>
  <si>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</si>
  <si>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</si>
  <si>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</si>
  <si>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</si>
  <si>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</si>
  <si>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</si>
  <si>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</si>
  <si>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</si>
  <si>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</si>
  <si>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</si>
  <si>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</si>
  <si>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</si>
  <si>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</si>
  <si>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</si>
  <si>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</si>
  <si>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</si>
  <si>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</si>
  <si>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</si>
  <si>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</si>
  <si>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</si>
  <si>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</si>
  <si>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</si>
  <si>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</si>
  <si>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</si>
  <si>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</si>
  <si>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</si>
  <si>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</si>
  <si>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</si>
  <si>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</si>
  <si>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</si>
  <si>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</si>
  <si>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</si>
  <si>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</si>
  <si>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</si>
  <si>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</si>
  <si>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</si>
  <si>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</si>
  <si>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</si>
  <si>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</si>
  <si>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</si>
  <si>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</si>
  <si>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</si>
  <si>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</si>
  <si>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</si>
  <si>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</si>
  <si>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</si>
  <si>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</si>
  <si>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</si>
  <si>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</si>
  <si>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</si>
  <si>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</si>
  <si>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</si>
  <si>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</si>
  <si>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</si>
  <si>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</si>
  <si>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</si>
  <si>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</si>
  <si>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</si>
  <si>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</si>
  <si>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</si>
  <si>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</si>
  <si>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</si>
  <si>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</si>
  <si>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</si>
  <si>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</si>
  <si>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</si>
  <si>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</si>
  <si>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</si>
  <si>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</si>
  <si>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</si>
  <si>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</si>
  <si>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</si>
  <si>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</si>
  <si>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</si>
  <si>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</si>
  <si>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</si>
  <si>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</si>
  <si>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</si>
  <si>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</si>
  <si>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</si>
  <si>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</si>
  <si>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</si>
  <si>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</si>
  <si>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</si>
  <si>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</si>
  <si>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</si>
  <si>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</si>
  <si>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</si>
  <si>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</si>
  <si>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</si>
  <si>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</si>
  <si>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</si>
  <si>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</si>
  <si>
    <t>Column</t>
  </si>
  <si>
    <t>Missing</t>
  </si>
  <si>
    <t>Total  Rows</t>
  </si>
  <si>
    <t>Row Labels</t>
  </si>
  <si>
    <t>Grand Total</t>
  </si>
  <si>
    <t>Count of account</t>
  </si>
  <si>
    <t>Min of EMP</t>
  </si>
  <si>
    <t>Max of EMP</t>
  </si>
  <si>
    <t>Max of Revenue</t>
  </si>
  <si>
    <t>Min of Revenue</t>
  </si>
  <si>
    <t>(blank)</t>
  </si>
  <si>
    <t>Min of year</t>
  </si>
  <si>
    <t>Max of year</t>
  </si>
  <si>
    <t>negative</t>
  </si>
  <si>
    <t>future years</t>
  </si>
  <si>
    <t>Parent_Validation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</si>
</sst>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7.80340034722" createdVersion="8" refreshedVersion="8" minRefreshableVersion="3" recordCount="85" xr:uid="{6326883B-6068-4CCE-B4D7-4956B5FFD65E}">
  <cacheSource type="worksheet">
    <worksheetSource name="accounts"/>
  </cacheSource>
  <cacheFields count="7">
    <cacheField name="account" numFmtId="0">
      <sharedItems count="85">
        <s v="Acme Corporation"/>
        <s v="Betasoloin"/>
        <s v="Betatech"/>
        <s v="Bioholding"/>
        <s v="Bioplex"/>
        <s v="Blackzim"/>
        <s v="Bluth Company"/>
        <s v="Bubba Gump"/>
        <s v="Cancity"/>
        <s v="Cheers"/>
        <s v="Codehow"/>
        <s v="Condax"/>
        <s v="Conecom"/>
        <s v="Dalttechnology"/>
        <s v="dambase"/>
        <s v="Domzoom"/>
        <s v="Doncon"/>
        <s v="Donquadtech"/>
        <s v="Dontechi"/>
        <s v="Donware"/>
        <s v="Fasehatice"/>
        <s v="Faxquote"/>
        <s v="Finhigh"/>
        <s v="Finjob"/>
        <s v="Funholding"/>
        <s v="Ganjaflex"/>
        <s v="Gekko &amp; Co"/>
        <s v="Genco Pura Olive Oil Company"/>
        <s v="Globex Corporation"/>
        <s v="Gogozoom"/>
        <s v="Golddex"/>
        <s v="Goodsilron"/>
        <s v="Green-Plus"/>
        <s v="Groovestreet"/>
        <s v="Hatfan"/>
        <s v="Hottechi"/>
        <s v="Initech"/>
        <s v="Inity"/>
        <s v="Isdom"/>
        <s v="Iselectrics"/>
        <s v="J-Texon"/>
        <s v="Kan-code"/>
        <s v="Kinnamplus"/>
        <s v="Konex"/>
        <s v="Konmatfix"/>
        <s v="Labdrill"/>
        <s v="Lexiqvolax"/>
        <s v="Massive Dynamic"/>
        <s v="Mathtouch"/>
        <s v="Nam-zim"/>
        <s v="Newex"/>
        <s v="Ontomedia"/>
        <s v="Opentech"/>
        <s v="Plexzap"/>
        <s v="Plusstrip"/>
        <s v="Plussunin"/>
        <s v="Rangreen"/>
        <s v="Rantouch"/>
        <s v="Ron-tech"/>
        <s v="Rundofase"/>
        <s v="Scotfind"/>
        <s v="Scottech"/>
        <s v="Silis"/>
        <s v="Singletechno"/>
        <s v="Sonron"/>
        <s v="Stanredtax"/>
        <s v="Statholdings"/>
        <s v="Streethex"/>
        <s v="Sumace"/>
        <s v="Sunnamplex"/>
        <s v="The New York Inquirer"/>
        <s v="Toughzap"/>
        <s v="Treequote"/>
        <s v="Umbrella Corporation"/>
        <s v="Vehement Capital Partners"/>
        <s v="Warephase"/>
        <s v="Xx-holding"/>
        <s v="Xx-zobam"/>
        <s v="Y-corporation"/>
        <s v="Yearin"/>
        <s v="Zathunicon"/>
        <s v="Zencorporation"/>
        <s v="Zoomit"/>
        <s v="Zotware"/>
        <s v="Zumgoity"/>
      </sharedItems>
    </cacheField>
    <cacheField name="sector" numFmtId="0">
      <sharedItems count="10">
        <s v="technolgy"/>
        <s v="medical"/>
        <s v="retail"/>
        <s v="software"/>
        <s v="entertainment"/>
        <s v="marketing"/>
        <s v="telecommunications"/>
        <s v="finance"/>
        <s v="employment"/>
        <s v="services"/>
      </sharedItems>
    </cacheField>
    <cacheField name="year_established" numFmtId="0">
      <sharedItems containsSemiMixedTypes="0" containsString="0" containsNumber="1" containsInteger="1" minValue="1979" maxValue="2017"/>
    </cacheField>
    <cacheField name="revenue" numFmtId="0">
      <sharedItems containsSemiMixedTypes="0" containsString="0" containsNumber="1" minValue="4.54" maxValue="11698.03"/>
    </cacheField>
    <cacheField name="employees" numFmtId="0">
      <sharedItems containsSemiMixedTypes="0" containsString="0" containsNumber="1" containsInteger="1" minValue="9" maxValue="34288"/>
    </cacheField>
    <cacheField name="office_location" numFmtId="0">
      <sharedItems count="15">
        <s v="United States"/>
        <s v="Kenya"/>
        <s v="Philipines"/>
        <s v="Japan"/>
        <s v="Italy"/>
        <s v="Norway"/>
        <s v="Korea"/>
        <s v="Jordan"/>
        <s v="Brazil"/>
        <s v="Germany"/>
        <s v="Panama"/>
        <s v="Belgium"/>
        <s v="Romania"/>
        <s v="Poland"/>
        <s v="China"/>
      </sharedItems>
    </cacheField>
    <cacheField name="subsidiary_of" numFmtId="0">
      <sharedItems containsBlank="1" count="8">
        <m/>
        <s v="Acme Corporation"/>
        <s v="Massive Dynamic"/>
        <s v="Bubba Gump"/>
        <s v="Inity"/>
        <s v="Sonron"/>
        <s v="Golddex"/>
        <s v="Warepha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x v="0"/>
    <n v="1996"/>
    <n v="1100.04"/>
    <n v="2822"/>
    <x v="0"/>
    <x v="0"/>
  </r>
  <r>
    <x v="1"/>
    <x v="1"/>
    <n v="1999"/>
    <n v="251.41"/>
    <n v="495"/>
    <x v="0"/>
    <x v="0"/>
  </r>
  <r>
    <x v="2"/>
    <x v="1"/>
    <n v="1986"/>
    <n v="647.17999999999995"/>
    <n v="1185"/>
    <x v="1"/>
    <x v="0"/>
  </r>
  <r>
    <x v="3"/>
    <x v="1"/>
    <n v="2012"/>
    <n v="587.34"/>
    <n v="1356"/>
    <x v="2"/>
    <x v="0"/>
  </r>
  <r>
    <x v="4"/>
    <x v="1"/>
    <n v="1991"/>
    <n v="326.82"/>
    <n v="1016"/>
    <x v="0"/>
    <x v="0"/>
  </r>
  <r>
    <x v="5"/>
    <x v="2"/>
    <n v="2009"/>
    <n v="497.11"/>
    <n v="1588"/>
    <x v="0"/>
    <x v="0"/>
  </r>
  <r>
    <x v="6"/>
    <x v="0"/>
    <n v="1993"/>
    <n v="1242.32"/>
    <n v="3027"/>
    <x v="0"/>
    <x v="1"/>
  </r>
  <r>
    <x v="7"/>
    <x v="3"/>
    <n v="2002"/>
    <n v="987.39"/>
    <n v="2253"/>
    <x v="0"/>
    <x v="0"/>
  </r>
  <r>
    <x v="8"/>
    <x v="2"/>
    <n v="2001"/>
    <n v="718.62"/>
    <n v="2448"/>
    <x v="0"/>
    <x v="0"/>
  </r>
  <r>
    <x v="9"/>
    <x v="4"/>
    <n v="1993"/>
    <n v="4269.8999999999996"/>
    <n v="6472"/>
    <x v="0"/>
    <x v="2"/>
  </r>
  <r>
    <x v="10"/>
    <x v="3"/>
    <n v="1998"/>
    <n v="2714.9"/>
    <n v="2641"/>
    <x v="0"/>
    <x v="1"/>
  </r>
  <r>
    <x v="11"/>
    <x v="1"/>
    <n v="2017"/>
    <n v="4.54"/>
    <n v="9"/>
    <x v="0"/>
    <x v="0"/>
  </r>
  <r>
    <x v="12"/>
    <x v="0"/>
    <n v="2005"/>
    <n v="1520.66"/>
    <n v="1806"/>
    <x v="0"/>
    <x v="0"/>
  </r>
  <r>
    <x v="13"/>
    <x v="3"/>
    <n v="2013"/>
    <n v="98.79"/>
    <n v="96"/>
    <x v="0"/>
    <x v="3"/>
  </r>
  <r>
    <x v="14"/>
    <x v="5"/>
    <n v="1995"/>
    <n v="2173.98"/>
    <n v="2928"/>
    <x v="0"/>
    <x v="4"/>
  </r>
  <r>
    <x v="15"/>
    <x v="4"/>
    <n v="1998"/>
    <n v="217.87"/>
    <n v="551"/>
    <x v="0"/>
    <x v="0"/>
  </r>
  <r>
    <x v="16"/>
    <x v="0"/>
    <n v="2010"/>
    <n v="587.72"/>
    <n v="1501"/>
    <x v="0"/>
    <x v="0"/>
  </r>
  <r>
    <x v="17"/>
    <x v="0"/>
    <n v="1992"/>
    <n v="1712.68"/>
    <n v="3194"/>
    <x v="0"/>
    <x v="1"/>
  </r>
  <r>
    <x v="18"/>
    <x v="3"/>
    <n v="1982"/>
    <n v="4618"/>
    <n v="10083"/>
    <x v="0"/>
    <x v="0"/>
  </r>
  <r>
    <x v="19"/>
    <x v="5"/>
    <n v="1999"/>
    <n v="1197.44"/>
    <n v="2570"/>
    <x v="0"/>
    <x v="0"/>
  </r>
  <r>
    <x v="20"/>
    <x v="2"/>
    <n v="1990"/>
    <n v="4968.91"/>
    <n v="7523"/>
    <x v="0"/>
    <x v="0"/>
  </r>
  <r>
    <x v="21"/>
    <x v="6"/>
    <n v="1995"/>
    <n v="1825.82"/>
    <n v="5595"/>
    <x v="0"/>
    <x v="5"/>
  </r>
  <r>
    <x v="22"/>
    <x v="7"/>
    <n v="2006"/>
    <n v="1102.43"/>
    <n v="1759"/>
    <x v="0"/>
    <x v="0"/>
  </r>
  <r>
    <x v="23"/>
    <x v="8"/>
    <n v="1988"/>
    <n v="2059.9"/>
    <n v="3644"/>
    <x v="0"/>
    <x v="0"/>
  </r>
  <r>
    <x v="24"/>
    <x v="7"/>
    <n v="1991"/>
    <n v="2819.5"/>
    <n v="7227"/>
    <x v="0"/>
    <x v="6"/>
  </r>
  <r>
    <x v="25"/>
    <x v="2"/>
    <n v="1995"/>
    <n v="5158.71"/>
    <n v="17479"/>
    <x v="3"/>
    <x v="0"/>
  </r>
  <r>
    <x v="26"/>
    <x v="2"/>
    <n v="1990"/>
    <n v="2520.83"/>
    <n v="3502"/>
    <x v="0"/>
    <x v="0"/>
  </r>
  <r>
    <x v="27"/>
    <x v="2"/>
    <n v="2007"/>
    <n v="894.33"/>
    <n v="1635"/>
    <x v="4"/>
    <x v="0"/>
  </r>
  <r>
    <x v="28"/>
    <x v="0"/>
    <n v="2000"/>
    <n v="1223.72"/>
    <n v="2497"/>
    <x v="5"/>
    <x v="0"/>
  </r>
  <r>
    <x v="29"/>
    <x v="6"/>
    <n v="2007"/>
    <n v="86.68"/>
    <n v="187"/>
    <x v="0"/>
    <x v="5"/>
  </r>
  <r>
    <x v="30"/>
    <x v="7"/>
    <n v="2008"/>
    <n v="52.5"/>
    <n v="165"/>
    <x v="0"/>
    <x v="0"/>
  </r>
  <r>
    <x v="31"/>
    <x v="5"/>
    <n v="2000"/>
    <n v="2952.73"/>
    <n v="5107"/>
    <x v="0"/>
    <x v="0"/>
  </r>
  <r>
    <x v="32"/>
    <x v="9"/>
    <n v="2003"/>
    <n v="692.19"/>
    <n v="1922"/>
    <x v="0"/>
    <x v="0"/>
  </r>
  <r>
    <x v="33"/>
    <x v="2"/>
    <n v="2003"/>
    <n v="223.8"/>
    <n v="299"/>
    <x v="0"/>
    <x v="0"/>
  </r>
  <r>
    <x v="34"/>
    <x v="9"/>
    <n v="1982"/>
    <n v="792.46"/>
    <n v="1299"/>
    <x v="0"/>
    <x v="0"/>
  </r>
  <r>
    <x v="35"/>
    <x v="0"/>
    <n v="1997"/>
    <n v="8170.38"/>
    <n v="16499"/>
    <x v="6"/>
    <x v="0"/>
  </r>
  <r>
    <x v="36"/>
    <x v="6"/>
    <n v="1994"/>
    <n v="6395.05"/>
    <n v="20275"/>
    <x v="0"/>
    <x v="0"/>
  </r>
  <r>
    <x v="37"/>
    <x v="5"/>
    <n v="1986"/>
    <n v="2403.58"/>
    <n v="8801"/>
    <x v="0"/>
    <x v="0"/>
  </r>
  <r>
    <x v="38"/>
    <x v="1"/>
    <n v="2002"/>
    <n v="3178.24"/>
    <n v="4540"/>
    <x v="0"/>
    <x v="0"/>
  </r>
  <r>
    <x v="39"/>
    <x v="0"/>
    <n v="2011"/>
    <n v="527.11"/>
    <n v="1428"/>
    <x v="0"/>
    <x v="1"/>
  </r>
  <r>
    <x v="40"/>
    <x v="2"/>
    <n v="1989"/>
    <n v="1388.67"/>
    <n v="3583"/>
    <x v="0"/>
    <x v="0"/>
  </r>
  <r>
    <x v="41"/>
    <x v="3"/>
    <n v="1982"/>
    <n v="11698.03"/>
    <n v="34288"/>
    <x v="0"/>
    <x v="0"/>
  </r>
  <r>
    <x v="42"/>
    <x v="2"/>
    <n v="2004"/>
    <n v="702.72"/>
    <n v="1831"/>
    <x v="0"/>
    <x v="0"/>
  </r>
  <r>
    <x v="43"/>
    <x v="0"/>
    <n v="1980"/>
    <n v="7708.38"/>
    <n v="13756"/>
    <x v="0"/>
    <x v="0"/>
  </r>
  <r>
    <x v="44"/>
    <x v="5"/>
    <n v="1985"/>
    <n v="375.43"/>
    <n v="1190"/>
    <x v="0"/>
    <x v="0"/>
  </r>
  <r>
    <x v="45"/>
    <x v="1"/>
    <n v="1985"/>
    <n v="2741.37"/>
    <n v="9226"/>
    <x v="0"/>
    <x v="0"/>
  </r>
  <r>
    <x v="46"/>
    <x v="1"/>
    <n v="2004"/>
    <n v="1618.89"/>
    <n v="3889"/>
    <x v="0"/>
    <x v="0"/>
  </r>
  <r>
    <x v="47"/>
    <x v="4"/>
    <n v="1989"/>
    <n v="665.06"/>
    <n v="1095"/>
    <x v="0"/>
    <x v="0"/>
  </r>
  <r>
    <x v="48"/>
    <x v="5"/>
    <n v="1984"/>
    <n v="3027.46"/>
    <n v="9516"/>
    <x v="7"/>
    <x v="0"/>
  </r>
  <r>
    <x v="49"/>
    <x v="9"/>
    <n v="1987"/>
    <n v="405.59"/>
    <n v="1179"/>
    <x v="8"/>
    <x v="7"/>
  </r>
  <r>
    <x v="50"/>
    <x v="9"/>
    <n v="1991"/>
    <n v="1012.72"/>
    <n v="3492"/>
    <x v="9"/>
    <x v="0"/>
  </r>
  <r>
    <x v="51"/>
    <x v="8"/>
    <n v="1997"/>
    <n v="882.12"/>
    <n v="2769"/>
    <x v="0"/>
    <x v="0"/>
  </r>
  <r>
    <x v="52"/>
    <x v="7"/>
    <n v="1994"/>
    <n v="355.23"/>
    <n v="853"/>
    <x v="0"/>
    <x v="0"/>
  </r>
  <r>
    <x v="53"/>
    <x v="2"/>
    <n v="2001"/>
    <n v="2437.85"/>
    <n v="4874"/>
    <x v="0"/>
    <x v="0"/>
  </r>
  <r>
    <x v="54"/>
    <x v="4"/>
    <n v="2002"/>
    <n v="349.81"/>
    <n v="315"/>
    <x v="0"/>
    <x v="0"/>
  </r>
  <r>
    <x v="55"/>
    <x v="2"/>
    <n v="2003"/>
    <n v="1419.98"/>
    <n v="4018"/>
    <x v="0"/>
    <x v="0"/>
  </r>
  <r>
    <x v="56"/>
    <x v="0"/>
    <n v="1987"/>
    <n v="2938.67"/>
    <n v="8775"/>
    <x v="10"/>
    <x v="0"/>
  </r>
  <r>
    <x v="57"/>
    <x v="6"/>
    <n v="1994"/>
    <n v="1188.42"/>
    <n v="3015"/>
    <x v="0"/>
    <x v="0"/>
  </r>
  <r>
    <x v="58"/>
    <x v="1"/>
    <n v="1992"/>
    <n v="3922.42"/>
    <n v="6837"/>
    <x v="0"/>
    <x v="0"/>
  </r>
  <r>
    <x v="59"/>
    <x v="0"/>
    <n v="1983"/>
    <n v="1008.06"/>
    <n v="1238"/>
    <x v="0"/>
    <x v="0"/>
  </r>
  <r>
    <x v="60"/>
    <x v="3"/>
    <n v="1996"/>
    <n v="6354.87"/>
    <n v="16780"/>
    <x v="0"/>
    <x v="3"/>
  </r>
  <r>
    <x v="61"/>
    <x v="5"/>
    <n v="2012"/>
    <n v="45.39"/>
    <n v="100"/>
    <x v="0"/>
    <x v="4"/>
  </r>
  <r>
    <x v="62"/>
    <x v="1"/>
    <n v="1994"/>
    <n v="2818.38"/>
    <n v="6290"/>
    <x v="0"/>
    <x v="0"/>
  </r>
  <r>
    <x v="63"/>
    <x v="2"/>
    <n v="1996"/>
    <n v="2214.94"/>
    <n v="5374"/>
    <x v="0"/>
    <x v="0"/>
  </r>
  <r>
    <x v="64"/>
    <x v="6"/>
    <n v="1999"/>
    <n v="1699.85"/>
    <n v="5108"/>
    <x v="0"/>
    <x v="0"/>
  </r>
  <r>
    <x v="65"/>
    <x v="7"/>
    <n v="1987"/>
    <n v="1698.2"/>
    <n v="3798"/>
    <x v="0"/>
    <x v="0"/>
  </r>
  <r>
    <x v="66"/>
    <x v="8"/>
    <n v="1997"/>
    <n v="291.27"/>
    <n v="586"/>
    <x v="0"/>
    <x v="0"/>
  </r>
  <r>
    <x v="67"/>
    <x v="2"/>
    <n v="1988"/>
    <n v="1376.8"/>
    <n v="1165"/>
    <x v="11"/>
    <x v="0"/>
  </r>
  <r>
    <x v="68"/>
    <x v="2"/>
    <n v="2000"/>
    <n v="167.89"/>
    <n v="493"/>
    <x v="12"/>
    <x v="0"/>
  </r>
  <r>
    <x v="69"/>
    <x v="5"/>
    <n v="2008"/>
    <n v="894.37"/>
    <n v="1593"/>
    <x v="13"/>
    <x v="0"/>
  </r>
  <r>
    <x v="70"/>
    <x v="1"/>
    <n v="1996"/>
    <n v="439.21"/>
    <n v="792"/>
    <x v="0"/>
    <x v="0"/>
  </r>
  <r>
    <x v="71"/>
    <x v="2"/>
    <n v="1995"/>
    <n v="332.43"/>
    <n v="799"/>
    <x v="0"/>
    <x v="0"/>
  </r>
  <r>
    <x v="72"/>
    <x v="6"/>
    <n v="1988"/>
    <n v="5266.09"/>
    <n v="8595"/>
    <x v="0"/>
    <x v="5"/>
  </r>
  <r>
    <x v="73"/>
    <x v="7"/>
    <n v="1998"/>
    <n v="2022.14"/>
    <n v="5113"/>
    <x v="0"/>
    <x v="0"/>
  </r>
  <r>
    <x v="74"/>
    <x v="7"/>
    <n v="1993"/>
    <n v="646.1"/>
    <n v="883"/>
    <x v="0"/>
    <x v="6"/>
  </r>
  <r>
    <x v="75"/>
    <x v="9"/>
    <n v="1997"/>
    <n v="2041.73"/>
    <n v="5276"/>
    <x v="0"/>
    <x v="0"/>
  </r>
  <r>
    <x v="76"/>
    <x v="7"/>
    <n v="1993"/>
    <n v="7537.24"/>
    <n v="20293"/>
    <x v="0"/>
    <x v="0"/>
  </r>
  <r>
    <x v="77"/>
    <x v="4"/>
    <n v="1989"/>
    <n v="3838.39"/>
    <n v="8274"/>
    <x v="0"/>
    <x v="0"/>
  </r>
  <r>
    <x v="78"/>
    <x v="8"/>
    <n v="1983"/>
    <n v="2871.35"/>
    <n v="9561"/>
    <x v="0"/>
    <x v="0"/>
  </r>
  <r>
    <x v="79"/>
    <x v="2"/>
    <n v="2005"/>
    <n v="2261.0500000000002"/>
    <n v="3851"/>
    <x v="0"/>
    <x v="0"/>
  </r>
  <r>
    <x v="80"/>
    <x v="2"/>
    <n v="2010"/>
    <n v="71.12"/>
    <n v="144"/>
    <x v="0"/>
    <x v="0"/>
  </r>
  <r>
    <x v="81"/>
    <x v="0"/>
    <n v="2011"/>
    <n v="40.79"/>
    <n v="142"/>
    <x v="14"/>
    <x v="0"/>
  </r>
  <r>
    <x v="82"/>
    <x v="4"/>
    <n v="1992"/>
    <n v="324.19"/>
    <n v="978"/>
    <x v="0"/>
    <x v="0"/>
  </r>
  <r>
    <x v="83"/>
    <x v="3"/>
    <n v="1979"/>
    <n v="4478.47"/>
    <n v="13809"/>
    <x v="0"/>
    <x v="0"/>
  </r>
  <r>
    <x v="84"/>
    <x v="1"/>
    <n v="1984"/>
    <n v="441.08"/>
    <n v="121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24D09-9B92-46E4-8762-5BC3BC98C4B9}" name="PivotTable10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:B43" firstHeaderRow="1" firstDataRow="1" firstDataCol="1"/>
  <pivotFields count="7">
    <pivotField dataField="1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showAll="0">
      <items count="11">
        <item x="8"/>
        <item x="4"/>
        <item x="7"/>
        <item x="5"/>
        <item x="1"/>
        <item x="2"/>
        <item x="9"/>
        <item x="3"/>
        <item x="0"/>
        <item x="6"/>
        <item t="default"/>
      </items>
    </pivotField>
    <pivotField showAll="0"/>
    <pivotField showAll="0"/>
    <pivotField showAll="0"/>
    <pivotField showAll="0"/>
    <pivotField axis="axisRow" showAll="0">
      <items count="9">
        <item x="1"/>
        <item x="3"/>
        <item x="6"/>
        <item x="4"/>
        <item x="2"/>
        <item x="5"/>
        <item x="7"/>
        <item x="0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ac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0DD29-3979-4867-8127-9DF619AB0862}" name="Pivot-9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32" firstHeaderRow="1" firstDataRow="1" firstDataCol="1"/>
  <pivotFields count="7">
    <pivotField dataField="1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showAll="0">
      <items count="11">
        <item x="8"/>
        <item x="4"/>
        <item x="7"/>
        <item x="5"/>
        <item x="1"/>
        <item x="2"/>
        <item x="9"/>
        <item x="3"/>
        <item x="0"/>
        <item x="6"/>
        <item t="default"/>
      </items>
    </pivotField>
    <pivotField showAll="0"/>
    <pivotField showAll="0"/>
    <pivotField showAll="0"/>
    <pivotField axis="axisRow" showAll="0">
      <items count="16">
        <item x="11"/>
        <item x="8"/>
        <item x="14"/>
        <item x="9"/>
        <item x="4"/>
        <item x="3"/>
        <item x="7"/>
        <item x="1"/>
        <item x="6"/>
        <item x="5"/>
        <item x="10"/>
        <item x="2"/>
        <item x="13"/>
        <item x="12"/>
        <item x="0"/>
        <item t="default"/>
      </items>
    </pivotField>
    <pivotField showAll="0"/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ac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6DF33-6012-4F42-9C83-B05E36A2C27D}" name="Pivot-8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7">
    <pivotField dataField="1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axis="axisRow" showAll="0">
      <items count="11">
        <item x="8"/>
        <item x="4"/>
        <item x="7"/>
        <item x="5"/>
        <item x="1"/>
        <item x="2"/>
        <item x="9"/>
        <item x="3"/>
        <item x="0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ac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79C61-CC75-4BBD-9428-024FB276932A}" name="accounts" displayName="accounts" ref="A1:H86" totalsRowShown="0" headerRowDxfId="1">
  <autoFilter ref="A1:H86" xr:uid="{D4E79C61-CC75-4BBD-9428-024FB276932A}">
    <filterColumn colId="7">
      <filters>
        <filter val="No Parent"/>
      </filters>
    </filterColumn>
  </autoFilter>
  <sortState xmlns:xlrd2="http://schemas.microsoft.com/office/spreadsheetml/2017/richdata2" ref="A2:G86">
    <sortCondition descending="1" ref="E1:E86"/>
  </sortState>
  <tableColumns count="8">
    <tableColumn id="1" xr3:uid="{519FE780-BD8E-48E6-BADC-B13FBA4D7046}" name="account"/>
    <tableColumn id="2" xr3:uid="{D9E01478-0CF4-44CE-8849-7B027D12FAAF}" name="sector"/>
    <tableColumn id="3" xr3:uid="{0C6C751A-EED8-4A0F-9CE6-555EA7EB3314}" name="year_established"/>
    <tableColumn id="4" xr3:uid="{B7109D8C-0F95-4244-92D5-A9DD15DD7DB8}" name="revenue"/>
    <tableColumn id="5" xr3:uid="{429E5121-4E1A-4DB3-95C8-EC6630579E8A}" name="employees"/>
    <tableColumn id="6" xr3:uid="{0989E8ED-D9B6-4E5D-BF63-B734DC8B85EC}" name="office_location"/>
    <tableColumn id="7" xr3:uid="{16D34075-E722-425B-89F7-33C1D858EFBB}" name="subsidiary_of"/>
    <tableColumn id="8" xr3:uid="{98B1C637-2271-46D1-B3C5-8149355077A2}" name="Parent_Validation" dataDxfId="0">
      <calculatedColumnFormula>IF(G2="","No Parent",IF(COUNTIF($A$2:$A$86,G2)&gt;0,"Valid Parent","Parent Not Found"))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E7E9-E82B-40EA-8F42-6056C267D478}">
  <dimension ref="A1:H86"/>
  <sheetViews>
    <sheetView tabSelected="1" topLeftCell="A10" workbookViewId="0">
      <selection activeCell="H85" sqref="H85"/>
    </sheetView>
  </sheetViews>
  <sheetFormatPr defaultRowHeight="14.4" x14ac:dyDescent="0.3"/>
  <cols>
    <col min="1" max="1" width="26.109375" bestFit="1" customWidth="1"/>
    <col min="2" max="2" width="17.77734375" bestFit="1" customWidth="1"/>
    <col min="3" max="3" width="17" customWidth="1"/>
    <col min="4" max="4" width="9.77734375" customWidth="1"/>
    <col min="5" max="5" width="12" customWidth="1"/>
    <col min="6" max="6" width="15.44140625" customWidth="1"/>
    <col min="7" max="7" width="16" bestFit="1" customWidth="1"/>
    <col min="8" max="8" width="18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132</v>
      </c>
    </row>
    <row r="2" spans="1:8" x14ac:dyDescent="0.3">
      <c r="A2" t="s">
        <v>67</v>
      </c>
      <c r="B2" t="s">
        <v>21</v>
      </c>
      <c r="C2">
        <v>1982</v>
      </c>
      <c r="D2">
        <v>11698.03</v>
      </c>
      <c r="E2">
        <v>34288</v>
      </c>
      <c r="F2" t="s">
        <v>9</v>
      </c>
      <c r="H2" t="str">
        <f t="shared" ref="H2:H33" si="0">IF(G2="","No Parent",IF(COUNTIF($A$2:$A$86,G2)&gt;0,"Valid Parent","Parent Not Found"))</f>
        <v>No Parent</v>
      </c>
    </row>
    <row r="3" spans="1:8" x14ac:dyDescent="0.3">
      <c r="A3" t="s">
        <v>107</v>
      </c>
      <c r="B3" t="s">
        <v>43</v>
      </c>
      <c r="C3">
        <v>1993</v>
      </c>
      <c r="D3">
        <v>7537.24</v>
      </c>
      <c r="E3">
        <v>20293</v>
      </c>
      <c r="F3" t="s">
        <v>9</v>
      </c>
      <c r="H3" t="str">
        <f t="shared" si="0"/>
        <v>No Parent</v>
      </c>
    </row>
    <row r="4" spans="1:8" x14ac:dyDescent="0.3">
      <c r="A4" t="s">
        <v>63</v>
      </c>
      <c r="B4" t="s">
        <v>40</v>
      </c>
      <c r="C4">
        <v>1994</v>
      </c>
      <c r="D4">
        <v>6395.05</v>
      </c>
      <c r="E4">
        <v>20275</v>
      </c>
      <c r="F4" t="s">
        <v>9</v>
      </c>
      <c r="H4" t="str">
        <f t="shared" si="0"/>
        <v>No Parent</v>
      </c>
    </row>
    <row r="5" spans="1:8" x14ac:dyDescent="0.3">
      <c r="A5" t="s">
        <v>48</v>
      </c>
      <c r="B5" t="s">
        <v>18</v>
      </c>
      <c r="C5">
        <v>1995</v>
      </c>
      <c r="D5">
        <v>5158.71</v>
      </c>
      <c r="E5">
        <v>17479</v>
      </c>
      <c r="F5" t="s">
        <v>49</v>
      </c>
      <c r="H5" t="str">
        <f t="shared" si="0"/>
        <v>No Parent</v>
      </c>
    </row>
    <row r="6" spans="1:8" hidden="1" x14ac:dyDescent="0.3">
      <c r="A6" t="s">
        <v>90</v>
      </c>
      <c r="B6" t="s">
        <v>21</v>
      </c>
      <c r="C6">
        <v>1996</v>
      </c>
      <c r="D6">
        <v>6354.87</v>
      </c>
      <c r="E6">
        <v>16780</v>
      </c>
      <c r="F6" t="s">
        <v>9</v>
      </c>
      <c r="G6" t="s">
        <v>20</v>
      </c>
      <c r="H6" t="str">
        <f t="shared" si="0"/>
        <v>Valid Parent</v>
      </c>
    </row>
    <row r="7" spans="1:8" x14ac:dyDescent="0.3">
      <c r="A7" t="s">
        <v>61</v>
      </c>
      <c r="B7" t="s">
        <v>8</v>
      </c>
      <c r="C7">
        <v>1997</v>
      </c>
      <c r="D7">
        <v>8170.38</v>
      </c>
      <c r="E7">
        <v>16499</v>
      </c>
      <c r="F7" t="s">
        <v>62</v>
      </c>
      <c r="H7" t="str">
        <f t="shared" si="0"/>
        <v>No Parent</v>
      </c>
    </row>
    <row r="8" spans="1:8" x14ac:dyDescent="0.3">
      <c r="A8" t="s">
        <v>115</v>
      </c>
      <c r="B8" t="s">
        <v>21</v>
      </c>
      <c r="C8">
        <v>1979</v>
      </c>
      <c r="D8">
        <v>4478.47</v>
      </c>
      <c r="E8">
        <v>13809</v>
      </c>
      <c r="F8" t="s">
        <v>9</v>
      </c>
      <c r="H8" t="str">
        <f t="shared" si="0"/>
        <v>No Parent</v>
      </c>
    </row>
    <row r="9" spans="1:8" x14ac:dyDescent="0.3">
      <c r="A9" t="s">
        <v>69</v>
      </c>
      <c r="B9" t="s">
        <v>8</v>
      </c>
      <c r="C9">
        <v>1980</v>
      </c>
      <c r="D9">
        <v>7708.38</v>
      </c>
      <c r="E9">
        <v>13756</v>
      </c>
      <c r="F9" t="s">
        <v>9</v>
      </c>
      <c r="H9" t="str">
        <f t="shared" si="0"/>
        <v>No Parent</v>
      </c>
    </row>
    <row r="10" spans="1:8" x14ac:dyDescent="0.3">
      <c r="A10" t="s">
        <v>36</v>
      </c>
      <c r="B10" t="s">
        <v>21</v>
      </c>
      <c r="C10">
        <v>1982</v>
      </c>
      <c r="D10">
        <v>4618</v>
      </c>
      <c r="E10">
        <v>10083</v>
      </c>
      <c r="F10" t="s">
        <v>9</v>
      </c>
      <c r="H10" t="str">
        <f t="shared" si="0"/>
        <v>No Parent</v>
      </c>
    </row>
    <row r="11" spans="1:8" x14ac:dyDescent="0.3">
      <c r="A11" t="s">
        <v>109</v>
      </c>
      <c r="B11" t="s">
        <v>45</v>
      </c>
      <c r="C11">
        <v>1983</v>
      </c>
      <c r="D11">
        <v>2871.35</v>
      </c>
      <c r="E11">
        <v>9561</v>
      </c>
      <c r="F11" t="s">
        <v>9</v>
      </c>
      <c r="H11" t="str">
        <f t="shared" si="0"/>
        <v>No Parent</v>
      </c>
    </row>
    <row r="12" spans="1:8" x14ac:dyDescent="0.3">
      <c r="A12" t="s">
        <v>73</v>
      </c>
      <c r="B12" t="s">
        <v>31</v>
      </c>
      <c r="C12">
        <v>1984</v>
      </c>
      <c r="D12">
        <v>3027.46</v>
      </c>
      <c r="E12">
        <v>9516</v>
      </c>
      <c r="F12" t="s">
        <v>74</v>
      </c>
      <c r="H12" t="str">
        <f t="shared" si="0"/>
        <v>No Parent</v>
      </c>
    </row>
    <row r="13" spans="1:8" x14ac:dyDescent="0.3">
      <c r="A13" t="s">
        <v>71</v>
      </c>
      <c r="B13" t="s">
        <v>11</v>
      </c>
      <c r="C13">
        <v>1985</v>
      </c>
      <c r="D13">
        <v>2741.37</v>
      </c>
      <c r="E13">
        <v>9226</v>
      </c>
      <c r="F13" t="s">
        <v>9</v>
      </c>
      <c r="H13" t="str">
        <f t="shared" si="0"/>
        <v>No Parent</v>
      </c>
    </row>
    <row r="14" spans="1:8" x14ac:dyDescent="0.3">
      <c r="A14" t="s">
        <v>32</v>
      </c>
      <c r="B14" t="s">
        <v>31</v>
      </c>
      <c r="C14">
        <v>1986</v>
      </c>
      <c r="D14">
        <v>2403.58</v>
      </c>
      <c r="E14">
        <v>8801</v>
      </c>
      <c r="F14" t="s">
        <v>9</v>
      </c>
      <c r="H14" t="str">
        <f t="shared" si="0"/>
        <v>No Parent</v>
      </c>
    </row>
    <row r="15" spans="1:8" x14ac:dyDescent="0.3">
      <c r="A15" t="s">
        <v>85</v>
      </c>
      <c r="B15" t="s">
        <v>8</v>
      </c>
      <c r="C15">
        <v>1987</v>
      </c>
      <c r="D15">
        <v>2938.67</v>
      </c>
      <c r="E15">
        <v>8775</v>
      </c>
      <c r="F15" t="s">
        <v>86</v>
      </c>
      <c r="H15" t="str">
        <f t="shared" si="0"/>
        <v>No Parent</v>
      </c>
    </row>
    <row r="16" spans="1:8" hidden="1" x14ac:dyDescent="0.3">
      <c r="A16" t="s">
        <v>104</v>
      </c>
      <c r="B16" t="s">
        <v>40</v>
      </c>
      <c r="C16">
        <v>1988</v>
      </c>
      <c r="D16">
        <v>5266.09</v>
      </c>
      <c r="E16">
        <v>8595</v>
      </c>
      <c r="F16" t="s">
        <v>9</v>
      </c>
      <c r="G16" t="s">
        <v>41</v>
      </c>
      <c r="H16" t="str">
        <f t="shared" si="0"/>
        <v>Valid Parent</v>
      </c>
    </row>
    <row r="17" spans="1:8" x14ac:dyDescent="0.3">
      <c r="A17" t="s">
        <v>108</v>
      </c>
      <c r="B17" t="s">
        <v>24</v>
      </c>
      <c r="C17">
        <v>1989</v>
      </c>
      <c r="D17">
        <v>3838.39</v>
      </c>
      <c r="E17">
        <v>8274</v>
      </c>
      <c r="F17" t="s">
        <v>9</v>
      </c>
      <c r="H17" t="str">
        <f t="shared" si="0"/>
        <v>No Parent</v>
      </c>
    </row>
    <row r="18" spans="1:8" x14ac:dyDescent="0.3">
      <c r="A18" t="s">
        <v>38</v>
      </c>
      <c r="B18" t="s">
        <v>18</v>
      </c>
      <c r="C18">
        <v>1990</v>
      </c>
      <c r="D18">
        <v>4968.91</v>
      </c>
      <c r="E18">
        <v>7523</v>
      </c>
      <c r="F18" t="s">
        <v>9</v>
      </c>
      <c r="H18" t="str">
        <f t="shared" si="0"/>
        <v>No Parent</v>
      </c>
    </row>
    <row r="19" spans="1:8" hidden="1" x14ac:dyDescent="0.3">
      <c r="A19" t="s">
        <v>46</v>
      </c>
      <c r="B19" t="s">
        <v>43</v>
      </c>
      <c r="C19">
        <v>1991</v>
      </c>
      <c r="D19">
        <v>2819.5</v>
      </c>
      <c r="E19">
        <v>7227</v>
      </c>
      <c r="F19" t="s">
        <v>9</v>
      </c>
      <c r="G19" t="s">
        <v>47</v>
      </c>
      <c r="H19" t="str">
        <f t="shared" si="0"/>
        <v>Valid Parent</v>
      </c>
    </row>
    <row r="20" spans="1:8" x14ac:dyDescent="0.3">
      <c r="A20" t="s">
        <v>88</v>
      </c>
      <c r="B20" t="s">
        <v>11</v>
      </c>
      <c r="C20">
        <v>1992</v>
      </c>
      <c r="D20">
        <v>3922.42</v>
      </c>
      <c r="E20">
        <v>6837</v>
      </c>
      <c r="F20" t="s">
        <v>9</v>
      </c>
      <c r="H20" t="str">
        <f t="shared" si="0"/>
        <v>No Parent</v>
      </c>
    </row>
    <row r="21" spans="1:8" hidden="1" x14ac:dyDescent="0.3">
      <c r="A21" t="s">
        <v>23</v>
      </c>
      <c r="B21" t="s">
        <v>24</v>
      </c>
      <c r="C21">
        <v>1993</v>
      </c>
      <c r="D21">
        <v>4269.8999999999996</v>
      </c>
      <c r="E21">
        <v>6472</v>
      </c>
      <c r="F21" t="s">
        <v>9</v>
      </c>
      <c r="G21" t="s">
        <v>25</v>
      </c>
      <c r="H21" t="str">
        <f t="shared" si="0"/>
        <v>Valid Parent</v>
      </c>
    </row>
    <row r="22" spans="1:8" x14ac:dyDescent="0.3">
      <c r="A22" t="s">
        <v>92</v>
      </c>
      <c r="B22" t="s">
        <v>11</v>
      </c>
      <c r="C22">
        <v>1994</v>
      </c>
      <c r="D22">
        <v>2818.38</v>
      </c>
      <c r="E22">
        <v>6290</v>
      </c>
      <c r="F22" t="s">
        <v>9</v>
      </c>
      <c r="H22" t="str">
        <f t="shared" si="0"/>
        <v>No Parent</v>
      </c>
    </row>
    <row r="23" spans="1:8" hidden="1" x14ac:dyDescent="0.3">
      <c r="A23" t="s">
        <v>39</v>
      </c>
      <c r="B23" t="s">
        <v>40</v>
      </c>
      <c r="C23">
        <v>1995</v>
      </c>
      <c r="D23">
        <v>1825.82</v>
      </c>
      <c r="E23">
        <v>5595</v>
      </c>
      <c r="F23" t="s">
        <v>9</v>
      </c>
      <c r="G23" t="s">
        <v>41</v>
      </c>
      <c r="H23" t="str">
        <f t="shared" si="0"/>
        <v>Valid Parent</v>
      </c>
    </row>
    <row r="24" spans="1:8" x14ac:dyDescent="0.3">
      <c r="A24" t="s">
        <v>93</v>
      </c>
      <c r="B24" t="s">
        <v>18</v>
      </c>
      <c r="C24">
        <v>1996</v>
      </c>
      <c r="D24">
        <v>2214.94</v>
      </c>
      <c r="E24">
        <v>5374</v>
      </c>
      <c r="F24" t="s">
        <v>9</v>
      </c>
      <c r="H24" t="str">
        <f t="shared" si="0"/>
        <v>No Parent</v>
      </c>
    </row>
    <row r="25" spans="1:8" x14ac:dyDescent="0.3">
      <c r="A25" t="s">
        <v>77</v>
      </c>
      <c r="B25" t="s">
        <v>58</v>
      </c>
      <c r="C25">
        <v>1997</v>
      </c>
      <c r="D25">
        <v>2041.73</v>
      </c>
      <c r="E25">
        <v>5276</v>
      </c>
      <c r="F25" t="s">
        <v>9</v>
      </c>
      <c r="H25" t="str">
        <f t="shared" si="0"/>
        <v>No Parent</v>
      </c>
    </row>
    <row r="26" spans="1:8" x14ac:dyDescent="0.3">
      <c r="A26" t="s">
        <v>105</v>
      </c>
      <c r="B26" t="s">
        <v>43</v>
      </c>
      <c r="C26">
        <v>1998</v>
      </c>
      <c r="D26">
        <v>2022.14</v>
      </c>
      <c r="E26">
        <v>5113</v>
      </c>
      <c r="F26" t="s">
        <v>9</v>
      </c>
      <c r="H26" t="str">
        <f t="shared" si="0"/>
        <v>No Parent</v>
      </c>
    </row>
    <row r="27" spans="1:8" x14ac:dyDescent="0.3">
      <c r="A27" t="s">
        <v>41</v>
      </c>
      <c r="B27" t="s">
        <v>40</v>
      </c>
      <c r="C27">
        <v>1999</v>
      </c>
      <c r="D27">
        <v>1699.85</v>
      </c>
      <c r="E27">
        <v>5108</v>
      </c>
      <c r="F27" t="s">
        <v>9</v>
      </c>
      <c r="H27" t="str">
        <f t="shared" si="0"/>
        <v>No Parent</v>
      </c>
    </row>
    <row r="28" spans="1:8" x14ac:dyDescent="0.3">
      <c r="A28" t="s">
        <v>56</v>
      </c>
      <c r="B28" t="s">
        <v>31</v>
      </c>
      <c r="C28">
        <v>2000</v>
      </c>
      <c r="D28">
        <v>2952.73</v>
      </c>
      <c r="E28">
        <v>5107</v>
      </c>
      <c r="F28" t="s">
        <v>9</v>
      </c>
      <c r="H28" t="str">
        <f t="shared" si="0"/>
        <v>No Parent</v>
      </c>
    </row>
    <row r="29" spans="1:8" x14ac:dyDescent="0.3">
      <c r="A29" t="s">
        <v>82</v>
      </c>
      <c r="B29" t="s">
        <v>18</v>
      </c>
      <c r="C29">
        <v>2001</v>
      </c>
      <c r="D29">
        <v>2437.85</v>
      </c>
      <c r="E29">
        <v>4874</v>
      </c>
      <c r="F29" t="s">
        <v>9</v>
      </c>
      <c r="H29" t="str">
        <f t="shared" si="0"/>
        <v>No Parent</v>
      </c>
    </row>
    <row r="30" spans="1:8" x14ac:dyDescent="0.3">
      <c r="A30" t="s">
        <v>64</v>
      </c>
      <c r="B30" t="s">
        <v>11</v>
      </c>
      <c r="C30">
        <v>2002</v>
      </c>
      <c r="D30">
        <v>3178.24</v>
      </c>
      <c r="E30">
        <v>4540</v>
      </c>
      <c r="F30" t="s">
        <v>9</v>
      </c>
      <c r="H30" t="str">
        <f t="shared" si="0"/>
        <v>No Parent</v>
      </c>
    </row>
    <row r="31" spans="1:8" x14ac:dyDescent="0.3">
      <c r="A31" t="s">
        <v>84</v>
      </c>
      <c r="B31" t="s">
        <v>18</v>
      </c>
      <c r="C31">
        <v>2003</v>
      </c>
      <c r="D31">
        <v>1419.98</v>
      </c>
      <c r="E31">
        <v>4018</v>
      </c>
      <c r="F31" t="s">
        <v>9</v>
      </c>
      <c r="H31" t="str">
        <f t="shared" si="0"/>
        <v>No Parent</v>
      </c>
    </row>
    <row r="32" spans="1:8" x14ac:dyDescent="0.3">
      <c r="A32" t="s">
        <v>72</v>
      </c>
      <c r="B32" t="s">
        <v>11</v>
      </c>
      <c r="C32">
        <v>2004</v>
      </c>
      <c r="D32">
        <v>1618.89</v>
      </c>
      <c r="E32">
        <v>3889</v>
      </c>
      <c r="F32" t="s">
        <v>9</v>
      </c>
      <c r="H32" t="str">
        <f t="shared" si="0"/>
        <v>No Parent</v>
      </c>
    </row>
    <row r="33" spans="1:8" x14ac:dyDescent="0.3">
      <c r="A33" t="s">
        <v>110</v>
      </c>
      <c r="B33" t="s">
        <v>18</v>
      </c>
      <c r="C33">
        <v>2005</v>
      </c>
      <c r="D33">
        <v>2261.0500000000002</v>
      </c>
      <c r="E33">
        <v>3851</v>
      </c>
      <c r="F33" t="s">
        <v>9</v>
      </c>
      <c r="H33" t="str">
        <f t="shared" si="0"/>
        <v>No Parent</v>
      </c>
    </row>
    <row r="34" spans="1:8" x14ac:dyDescent="0.3">
      <c r="A34" t="s">
        <v>94</v>
      </c>
      <c r="B34" t="s">
        <v>43</v>
      </c>
      <c r="C34">
        <v>1987</v>
      </c>
      <c r="D34">
        <v>1698.2</v>
      </c>
      <c r="E34">
        <v>3798</v>
      </c>
      <c r="F34" t="s">
        <v>9</v>
      </c>
      <c r="H34" t="str">
        <f t="shared" ref="H34:H65" si="1">IF(G34="","No Parent",IF(COUNTIF($A$2:$A$86,G34)&gt;0,"Valid Parent","Parent Not Found"))</f>
        <v>No Parent</v>
      </c>
    </row>
    <row r="35" spans="1:8" x14ac:dyDescent="0.3">
      <c r="A35" t="s">
        <v>44</v>
      </c>
      <c r="B35" t="s">
        <v>45</v>
      </c>
      <c r="C35">
        <v>1988</v>
      </c>
      <c r="D35">
        <v>2059.9</v>
      </c>
      <c r="E35">
        <v>3644</v>
      </c>
      <c r="F35" t="s">
        <v>9</v>
      </c>
      <c r="H35" t="str">
        <f t="shared" si="1"/>
        <v>No Parent</v>
      </c>
    </row>
    <row r="36" spans="1:8" x14ac:dyDescent="0.3">
      <c r="A36" t="s">
        <v>66</v>
      </c>
      <c r="B36" t="s">
        <v>18</v>
      </c>
      <c r="C36">
        <v>1989</v>
      </c>
      <c r="D36">
        <v>1388.67</v>
      </c>
      <c r="E36">
        <v>3583</v>
      </c>
      <c r="F36" t="s">
        <v>9</v>
      </c>
      <c r="H36" t="str">
        <f t="shared" si="1"/>
        <v>No Parent</v>
      </c>
    </row>
    <row r="37" spans="1:8" x14ac:dyDescent="0.3">
      <c r="A37" t="s">
        <v>50</v>
      </c>
      <c r="B37" t="s">
        <v>18</v>
      </c>
      <c r="C37">
        <v>1990</v>
      </c>
      <c r="D37">
        <v>2520.83</v>
      </c>
      <c r="E37">
        <v>3502</v>
      </c>
      <c r="F37" t="s">
        <v>9</v>
      </c>
      <c r="H37" t="str">
        <f t="shared" si="1"/>
        <v>No Parent</v>
      </c>
    </row>
    <row r="38" spans="1:8" x14ac:dyDescent="0.3">
      <c r="A38" t="s">
        <v>78</v>
      </c>
      <c r="B38" t="s">
        <v>58</v>
      </c>
      <c r="C38">
        <v>1991</v>
      </c>
      <c r="D38">
        <v>1012.72</v>
      </c>
      <c r="E38">
        <v>3492</v>
      </c>
      <c r="F38" t="s">
        <v>79</v>
      </c>
      <c r="H38" t="str">
        <f t="shared" si="1"/>
        <v>No Parent</v>
      </c>
    </row>
    <row r="39" spans="1:8" hidden="1" x14ac:dyDescent="0.3">
      <c r="A39" t="s">
        <v>35</v>
      </c>
      <c r="B39" t="s">
        <v>8</v>
      </c>
      <c r="C39">
        <v>1992</v>
      </c>
      <c r="D39">
        <v>1712.68</v>
      </c>
      <c r="E39">
        <v>3194</v>
      </c>
      <c r="F39" t="s">
        <v>9</v>
      </c>
      <c r="G39" t="s">
        <v>7</v>
      </c>
      <c r="H39" t="str">
        <f t="shared" si="1"/>
        <v>Valid Parent</v>
      </c>
    </row>
    <row r="40" spans="1:8" hidden="1" x14ac:dyDescent="0.3">
      <c r="A40" t="s">
        <v>19</v>
      </c>
      <c r="B40" t="s">
        <v>8</v>
      </c>
      <c r="C40">
        <v>1993</v>
      </c>
      <c r="D40">
        <v>1242.32</v>
      </c>
      <c r="E40">
        <v>3027</v>
      </c>
      <c r="F40" t="s">
        <v>9</v>
      </c>
      <c r="G40" t="s">
        <v>7</v>
      </c>
      <c r="H40" t="str">
        <f t="shared" si="1"/>
        <v>Valid Parent</v>
      </c>
    </row>
    <row r="41" spans="1:8" x14ac:dyDescent="0.3">
      <c r="A41" t="s">
        <v>87</v>
      </c>
      <c r="B41" t="s">
        <v>40</v>
      </c>
      <c r="C41">
        <v>1994</v>
      </c>
      <c r="D41">
        <v>1188.42</v>
      </c>
      <c r="E41">
        <v>3015</v>
      </c>
      <c r="F41" t="s">
        <v>9</v>
      </c>
      <c r="H41" t="str">
        <f t="shared" si="1"/>
        <v>No Parent</v>
      </c>
    </row>
    <row r="42" spans="1:8" hidden="1" x14ac:dyDescent="0.3">
      <c r="A42" t="s">
        <v>30</v>
      </c>
      <c r="B42" t="s">
        <v>31</v>
      </c>
      <c r="C42">
        <v>1995</v>
      </c>
      <c r="D42">
        <v>2173.98</v>
      </c>
      <c r="E42">
        <v>2928</v>
      </c>
      <c r="F42" t="s">
        <v>9</v>
      </c>
      <c r="G42" t="s">
        <v>32</v>
      </c>
      <c r="H42" t="str">
        <f t="shared" si="1"/>
        <v>Valid Parent</v>
      </c>
    </row>
    <row r="43" spans="1:8" x14ac:dyDescent="0.3">
      <c r="A43" t="s">
        <v>7</v>
      </c>
      <c r="B43" t="s">
        <v>8</v>
      </c>
      <c r="C43">
        <v>1996</v>
      </c>
      <c r="D43">
        <v>1100.04</v>
      </c>
      <c r="E43">
        <v>2822</v>
      </c>
      <c r="F43" t="s">
        <v>9</v>
      </c>
      <c r="H43" t="str">
        <f t="shared" si="1"/>
        <v>No Parent</v>
      </c>
    </row>
    <row r="44" spans="1:8" x14ac:dyDescent="0.3">
      <c r="A44" t="s">
        <v>80</v>
      </c>
      <c r="B44" t="s">
        <v>45</v>
      </c>
      <c r="C44">
        <v>1997</v>
      </c>
      <c r="D44">
        <v>882.12</v>
      </c>
      <c r="E44">
        <v>2769</v>
      </c>
      <c r="F44" t="s">
        <v>9</v>
      </c>
      <c r="H44" t="str">
        <f t="shared" si="1"/>
        <v>No Parent</v>
      </c>
    </row>
    <row r="45" spans="1:8" hidden="1" x14ac:dyDescent="0.3">
      <c r="A45" t="s">
        <v>26</v>
      </c>
      <c r="B45" t="s">
        <v>21</v>
      </c>
      <c r="C45">
        <v>1998</v>
      </c>
      <c r="D45">
        <v>2714.9</v>
      </c>
      <c r="E45">
        <v>2641</v>
      </c>
      <c r="F45" t="s">
        <v>9</v>
      </c>
      <c r="G45" t="s">
        <v>7</v>
      </c>
      <c r="H45" t="str">
        <f t="shared" si="1"/>
        <v>Valid Parent</v>
      </c>
    </row>
    <row r="46" spans="1:8" x14ac:dyDescent="0.3">
      <c r="A46" t="s">
        <v>37</v>
      </c>
      <c r="B46" t="s">
        <v>31</v>
      </c>
      <c r="C46">
        <v>1999</v>
      </c>
      <c r="D46">
        <v>1197.44</v>
      </c>
      <c r="E46">
        <v>2570</v>
      </c>
      <c r="F46" t="s">
        <v>9</v>
      </c>
      <c r="H46" t="str">
        <f t="shared" si="1"/>
        <v>No Parent</v>
      </c>
    </row>
    <row r="47" spans="1:8" x14ac:dyDescent="0.3">
      <c r="A47" t="s">
        <v>53</v>
      </c>
      <c r="B47" t="s">
        <v>8</v>
      </c>
      <c r="C47">
        <v>2000</v>
      </c>
      <c r="D47">
        <v>1223.72</v>
      </c>
      <c r="E47">
        <v>2497</v>
      </c>
      <c r="F47" t="s">
        <v>54</v>
      </c>
      <c r="H47" t="str">
        <f t="shared" si="1"/>
        <v>No Parent</v>
      </c>
    </row>
    <row r="48" spans="1:8" x14ac:dyDescent="0.3">
      <c r="A48" t="s">
        <v>22</v>
      </c>
      <c r="B48" t="s">
        <v>18</v>
      </c>
      <c r="C48">
        <v>2001</v>
      </c>
      <c r="D48">
        <v>718.62</v>
      </c>
      <c r="E48">
        <v>2448</v>
      </c>
      <c r="F48" t="s">
        <v>9</v>
      </c>
      <c r="H48" t="str">
        <f t="shared" si="1"/>
        <v>No Parent</v>
      </c>
    </row>
    <row r="49" spans="1:8" x14ac:dyDescent="0.3">
      <c r="A49" t="s">
        <v>20</v>
      </c>
      <c r="B49" t="s">
        <v>21</v>
      </c>
      <c r="C49">
        <v>2002</v>
      </c>
      <c r="D49">
        <v>987.39</v>
      </c>
      <c r="E49">
        <v>2253</v>
      </c>
      <c r="F49" t="s">
        <v>9</v>
      </c>
      <c r="H49" t="str">
        <f t="shared" si="1"/>
        <v>No Parent</v>
      </c>
    </row>
    <row r="50" spans="1:8" x14ac:dyDescent="0.3">
      <c r="A50" t="s">
        <v>57</v>
      </c>
      <c r="B50" t="s">
        <v>58</v>
      </c>
      <c r="C50">
        <v>2003</v>
      </c>
      <c r="D50">
        <v>692.19</v>
      </c>
      <c r="E50">
        <v>1922</v>
      </c>
      <c r="F50" t="s">
        <v>9</v>
      </c>
      <c r="H50" t="str">
        <f t="shared" si="1"/>
        <v>No Parent</v>
      </c>
    </row>
    <row r="51" spans="1:8" x14ac:dyDescent="0.3">
      <c r="A51" t="s">
        <v>68</v>
      </c>
      <c r="B51" t="s">
        <v>18</v>
      </c>
      <c r="C51">
        <v>2004</v>
      </c>
      <c r="D51">
        <v>702.72</v>
      </c>
      <c r="E51">
        <v>1831</v>
      </c>
      <c r="F51" t="s">
        <v>9</v>
      </c>
      <c r="H51" t="str">
        <f t="shared" si="1"/>
        <v>No Parent</v>
      </c>
    </row>
    <row r="52" spans="1:8" x14ac:dyDescent="0.3">
      <c r="A52" t="s">
        <v>28</v>
      </c>
      <c r="B52" t="s">
        <v>8</v>
      </c>
      <c r="C52">
        <v>2005</v>
      </c>
      <c r="D52">
        <v>1520.66</v>
      </c>
      <c r="E52">
        <v>1806</v>
      </c>
      <c r="F52" t="s">
        <v>9</v>
      </c>
      <c r="H52" t="str">
        <f t="shared" si="1"/>
        <v>No Parent</v>
      </c>
    </row>
    <row r="53" spans="1:8" x14ac:dyDescent="0.3">
      <c r="A53" t="s">
        <v>42</v>
      </c>
      <c r="B53" t="s">
        <v>43</v>
      </c>
      <c r="C53">
        <v>2006</v>
      </c>
      <c r="D53">
        <v>1102.43</v>
      </c>
      <c r="E53">
        <v>1759</v>
      </c>
      <c r="F53" t="s">
        <v>9</v>
      </c>
      <c r="H53" t="str">
        <f t="shared" si="1"/>
        <v>No Parent</v>
      </c>
    </row>
    <row r="54" spans="1:8" x14ac:dyDescent="0.3">
      <c r="A54" t="s">
        <v>51</v>
      </c>
      <c r="B54" t="s">
        <v>18</v>
      </c>
      <c r="C54">
        <v>2007</v>
      </c>
      <c r="D54">
        <v>894.33</v>
      </c>
      <c r="E54">
        <v>1635</v>
      </c>
      <c r="F54" t="s">
        <v>52</v>
      </c>
      <c r="H54" t="str">
        <f t="shared" si="1"/>
        <v>No Parent</v>
      </c>
    </row>
    <row r="55" spans="1:8" x14ac:dyDescent="0.3">
      <c r="A55" t="s">
        <v>100</v>
      </c>
      <c r="B55" t="s">
        <v>31</v>
      </c>
      <c r="C55">
        <v>2008</v>
      </c>
      <c r="D55">
        <v>894.37</v>
      </c>
      <c r="E55">
        <v>1593</v>
      </c>
      <c r="F55" t="s">
        <v>101</v>
      </c>
      <c r="H55" t="str">
        <f t="shared" si="1"/>
        <v>No Parent</v>
      </c>
    </row>
    <row r="56" spans="1:8" x14ac:dyDescent="0.3">
      <c r="A56" t="s">
        <v>17</v>
      </c>
      <c r="B56" t="s">
        <v>18</v>
      </c>
      <c r="C56">
        <v>2009</v>
      </c>
      <c r="D56">
        <v>497.11</v>
      </c>
      <c r="E56">
        <v>1588</v>
      </c>
      <c r="F56" t="s">
        <v>9</v>
      </c>
      <c r="H56" t="str">
        <f t="shared" si="1"/>
        <v>No Parent</v>
      </c>
    </row>
    <row r="57" spans="1:8" x14ac:dyDescent="0.3">
      <c r="A57" t="s">
        <v>34</v>
      </c>
      <c r="B57" t="s">
        <v>8</v>
      </c>
      <c r="C57">
        <v>2010</v>
      </c>
      <c r="D57">
        <v>587.72</v>
      </c>
      <c r="E57">
        <v>1501</v>
      </c>
      <c r="F57" t="s">
        <v>9</v>
      </c>
      <c r="H57" t="str">
        <f t="shared" si="1"/>
        <v>No Parent</v>
      </c>
    </row>
    <row r="58" spans="1:8" hidden="1" x14ac:dyDescent="0.3">
      <c r="A58" t="s">
        <v>65</v>
      </c>
      <c r="B58" t="s">
        <v>8</v>
      </c>
      <c r="C58">
        <v>2011</v>
      </c>
      <c r="D58">
        <v>527.11</v>
      </c>
      <c r="E58">
        <v>1428</v>
      </c>
      <c r="F58" t="s">
        <v>9</v>
      </c>
      <c r="G58" t="s">
        <v>7</v>
      </c>
      <c r="H58" t="str">
        <f t="shared" si="1"/>
        <v>Valid Parent</v>
      </c>
    </row>
    <row r="59" spans="1:8" x14ac:dyDescent="0.3">
      <c r="A59" t="s">
        <v>14</v>
      </c>
      <c r="B59" t="s">
        <v>11</v>
      </c>
      <c r="C59">
        <v>2012</v>
      </c>
      <c r="D59">
        <v>587.34</v>
      </c>
      <c r="E59">
        <v>1356</v>
      </c>
      <c r="F59" t="s">
        <v>15</v>
      </c>
      <c r="H59" t="str">
        <f t="shared" si="1"/>
        <v>No Parent</v>
      </c>
    </row>
    <row r="60" spans="1:8" x14ac:dyDescent="0.3">
      <c r="A60" t="s">
        <v>60</v>
      </c>
      <c r="B60" t="s">
        <v>58</v>
      </c>
      <c r="C60">
        <v>1982</v>
      </c>
      <c r="D60">
        <v>792.46</v>
      </c>
      <c r="E60">
        <v>1299</v>
      </c>
      <c r="F60" t="s">
        <v>9</v>
      </c>
      <c r="H60" t="str">
        <f t="shared" si="1"/>
        <v>No Parent</v>
      </c>
    </row>
    <row r="61" spans="1:8" x14ac:dyDescent="0.3">
      <c r="A61" t="s">
        <v>89</v>
      </c>
      <c r="B61" t="s">
        <v>8</v>
      </c>
      <c r="C61">
        <v>1983</v>
      </c>
      <c r="D61">
        <v>1008.06</v>
      </c>
      <c r="E61">
        <v>1238</v>
      </c>
      <c r="F61" t="s">
        <v>9</v>
      </c>
      <c r="H61" t="str">
        <f t="shared" si="1"/>
        <v>No Parent</v>
      </c>
    </row>
    <row r="62" spans="1:8" x14ac:dyDescent="0.3">
      <c r="A62" t="s">
        <v>116</v>
      </c>
      <c r="B62" t="s">
        <v>11</v>
      </c>
      <c r="C62">
        <v>1984</v>
      </c>
      <c r="D62">
        <v>441.08</v>
      </c>
      <c r="E62">
        <v>1210</v>
      </c>
      <c r="F62" t="s">
        <v>9</v>
      </c>
      <c r="H62" t="str">
        <f t="shared" si="1"/>
        <v>No Parent</v>
      </c>
    </row>
    <row r="63" spans="1:8" x14ac:dyDescent="0.3">
      <c r="A63" t="s">
        <v>70</v>
      </c>
      <c r="B63" t="s">
        <v>31</v>
      </c>
      <c r="C63">
        <v>1985</v>
      </c>
      <c r="D63">
        <v>375.43</v>
      </c>
      <c r="E63">
        <v>1190</v>
      </c>
      <c r="F63" t="s">
        <v>9</v>
      </c>
      <c r="H63" t="str">
        <f t="shared" si="1"/>
        <v>No Parent</v>
      </c>
    </row>
    <row r="64" spans="1:8" x14ac:dyDescent="0.3">
      <c r="A64" t="s">
        <v>12</v>
      </c>
      <c r="B64" t="s">
        <v>11</v>
      </c>
      <c r="C64">
        <v>1986</v>
      </c>
      <c r="D64">
        <v>647.17999999999995</v>
      </c>
      <c r="E64">
        <v>1185</v>
      </c>
      <c r="F64" t="s">
        <v>13</v>
      </c>
      <c r="H64" t="str">
        <f t="shared" si="1"/>
        <v>No Parent</v>
      </c>
    </row>
    <row r="65" spans="1:8" hidden="1" x14ac:dyDescent="0.3">
      <c r="A65" t="s">
        <v>75</v>
      </c>
      <c r="B65" t="s">
        <v>58</v>
      </c>
      <c r="C65">
        <v>1987</v>
      </c>
      <c r="D65">
        <v>405.59</v>
      </c>
      <c r="E65">
        <v>1179</v>
      </c>
      <c r="F65" t="s">
        <v>76</v>
      </c>
      <c r="G65" t="s">
        <v>77</v>
      </c>
      <c r="H65" t="str">
        <f t="shared" si="1"/>
        <v>Valid Parent</v>
      </c>
    </row>
    <row r="66" spans="1:8" x14ac:dyDescent="0.3">
      <c r="A66" t="s">
        <v>96</v>
      </c>
      <c r="B66" t="s">
        <v>18</v>
      </c>
      <c r="C66">
        <v>1988</v>
      </c>
      <c r="D66">
        <v>1376.8</v>
      </c>
      <c r="E66">
        <v>1165</v>
      </c>
      <c r="F66" t="s">
        <v>97</v>
      </c>
      <c r="H66" t="str">
        <f t="shared" ref="H66:H97" si="2">IF(G66="","No Parent",IF(COUNTIF($A$2:$A$86,G66)&gt;0,"Valid Parent","Parent Not Found"))</f>
        <v>No Parent</v>
      </c>
    </row>
    <row r="67" spans="1:8" x14ac:dyDescent="0.3">
      <c r="A67" t="s">
        <v>25</v>
      </c>
      <c r="B67" t="s">
        <v>24</v>
      </c>
      <c r="C67">
        <v>1989</v>
      </c>
      <c r="D67">
        <v>665.06</v>
      </c>
      <c r="E67">
        <v>1095</v>
      </c>
      <c r="F67" t="s">
        <v>9</v>
      </c>
      <c r="H67" t="str">
        <f t="shared" si="2"/>
        <v>No Parent</v>
      </c>
    </row>
    <row r="68" spans="1:8" x14ac:dyDescent="0.3">
      <c r="A68" t="s">
        <v>16</v>
      </c>
      <c r="B68" t="s">
        <v>11</v>
      </c>
      <c r="C68">
        <v>1991</v>
      </c>
      <c r="D68">
        <v>326.82</v>
      </c>
      <c r="E68">
        <v>1016</v>
      </c>
      <c r="F68" t="s">
        <v>9</v>
      </c>
      <c r="H68" t="str">
        <f t="shared" si="2"/>
        <v>No Parent</v>
      </c>
    </row>
    <row r="69" spans="1:8" x14ac:dyDescent="0.3">
      <c r="A69" t="s">
        <v>114</v>
      </c>
      <c r="B69" t="s">
        <v>24</v>
      </c>
      <c r="C69">
        <v>1992</v>
      </c>
      <c r="D69">
        <v>324.19</v>
      </c>
      <c r="E69">
        <v>978</v>
      </c>
      <c r="F69" t="s">
        <v>9</v>
      </c>
      <c r="H69" t="str">
        <f t="shared" si="2"/>
        <v>No Parent</v>
      </c>
    </row>
    <row r="70" spans="1:8" hidden="1" x14ac:dyDescent="0.3">
      <c r="A70" t="s">
        <v>106</v>
      </c>
      <c r="B70" t="s">
        <v>43</v>
      </c>
      <c r="C70">
        <v>1993</v>
      </c>
      <c r="D70">
        <v>646.1</v>
      </c>
      <c r="E70">
        <v>883</v>
      </c>
      <c r="F70" t="s">
        <v>9</v>
      </c>
      <c r="G70" t="s">
        <v>47</v>
      </c>
      <c r="H70" t="str">
        <f t="shared" si="2"/>
        <v>Valid Parent</v>
      </c>
    </row>
    <row r="71" spans="1:8" x14ac:dyDescent="0.3">
      <c r="A71" t="s">
        <v>81</v>
      </c>
      <c r="B71" t="s">
        <v>43</v>
      </c>
      <c r="C71">
        <v>1994</v>
      </c>
      <c r="D71">
        <v>355.23</v>
      </c>
      <c r="E71">
        <v>853</v>
      </c>
      <c r="F71" t="s">
        <v>9</v>
      </c>
      <c r="H71" t="str">
        <f t="shared" si="2"/>
        <v>No Parent</v>
      </c>
    </row>
    <row r="72" spans="1:8" x14ac:dyDescent="0.3">
      <c r="A72" t="s">
        <v>103</v>
      </c>
      <c r="B72" t="s">
        <v>18</v>
      </c>
      <c r="C72">
        <v>1995</v>
      </c>
      <c r="D72">
        <v>332.43</v>
      </c>
      <c r="E72">
        <v>799</v>
      </c>
      <c r="F72" t="s">
        <v>9</v>
      </c>
      <c r="H72" t="str">
        <f t="shared" si="2"/>
        <v>No Parent</v>
      </c>
    </row>
    <row r="73" spans="1:8" x14ac:dyDescent="0.3">
      <c r="A73" t="s">
        <v>102</v>
      </c>
      <c r="B73" t="s">
        <v>11</v>
      </c>
      <c r="C73">
        <v>1996</v>
      </c>
      <c r="D73">
        <v>439.21</v>
      </c>
      <c r="E73">
        <v>792</v>
      </c>
      <c r="F73" t="s">
        <v>9</v>
      </c>
      <c r="H73" t="str">
        <f t="shared" si="2"/>
        <v>No Parent</v>
      </c>
    </row>
    <row r="74" spans="1:8" x14ac:dyDescent="0.3">
      <c r="A74" t="s">
        <v>95</v>
      </c>
      <c r="B74" t="s">
        <v>45</v>
      </c>
      <c r="C74">
        <v>1997</v>
      </c>
      <c r="D74">
        <v>291.27</v>
      </c>
      <c r="E74">
        <v>586</v>
      </c>
      <c r="F74" t="s">
        <v>9</v>
      </c>
      <c r="H74" t="str">
        <f t="shared" si="2"/>
        <v>No Parent</v>
      </c>
    </row>
    <row r="75" spans="1:8" x14ac:dyDescent="0.3">
      <c r="A75" t="s">
        <v>33</v>
      </c>
      <c r="B75" t="s">
        <v>24</v>
      </c>
      <c r="C75">
        <v>1998</v>
      </c>
      <c r="D75">
        <v>217.87</v>
      </c>
      <c r="E75">
        <v>551</v>
      </c>
      <c r="F75" t="s">
        <v>9</v>
      </c>
      <c r="H75" t="str">
        <f t="shared" si="2"/>
        <v>No Parent</v>
      </c>
    </row>
    <row r="76" spans="1:8" x14ac:dyDescent="0.3">
      <c r="A76" t="s">
        <v>10</v>
      </c>
      <c r="B76" t="s">
        <v>11</v>
      </c>
      <c r="C76">
        <v>1999</v>
      </c>
      <c r="D76">
        <v>251.41</v>
      </c>
      <c r="E76">
        <v>495</v>
      </c>
      <c r="F76" t="s">
        <v>9</v>
      </c>
      <c r="H76" t="str">
        <f t="shared" si="2"/>
        <v>No Parent</v>
      </c>
    </row>
    <row r="77" spans="1:8" x14ac:dyDescent="0.3">
      <c r="A77" t="s">
        <v>98</v>
      </c>
      <c r="B77" t="s">
        <v>18</v>
      </c>
      <c r="C77">
        <v>2000</v>
      </c>
      <c r="D77">
        <v>167.89</v>
      </c>
      <c r="E77">
        <v>493</v>
      </c>
      <c r="F77" t="s">
        <v>99</v>
      </c>
      <c r="H77" t="str">
        <f t="shared" si="2"/>
        <v>No Parent</v>
      </c>
    </row>
    <row r="78" spans="1:8" x14ac:dyDescent="0.3">
      <c r="A78" t="s">
        <v>83</v>
      </c>
      <c r="B78" t="s">
        <v>24</v>
      </c>
      <c r="C78">
        <v>2002</v>
      </c>
      <c r="D78">
        <v>349.81</v>
      </c>
      <c r="E78">
        <v>315</v>
      </c>
      <c r="F78" t="s">
        <v>9</v>
      </c>
      <c r="H78" t="str">
        <f t="shared" si="2"/>
        <v>No Parent</v>
      </c>
    </row>
    <row r="79" spans="1:8" x14ac:dyDescent="0.3">
      <c r="A79" t="s">
        <v>59</v>
      </c>
      <c r="B79" t="s">
        <v>18</v>
      </c>
      <c r="C79">
        <v>2003</v>
      </c>
      <c r="D79">
        <v>223.8</v>
      </c>
      <c r="E79">
        <v>299</v>
      </c>
      <c r="F79" t="s">
        <v>9</v>
      </c>
      <c r="H79" t="str">
        <f t="shared" si="2"/>
        <v>No Parent</v>
      </c>
    </row>
    <row r="80" spans="1:8" hidden="1" x14ac:dyDescent="0.3">
      <c r="A80" t="s">
        <v>55</v>
      </c>
      <c r="B80" t="s">
        <v>40</v>
      </c>
      <c r="C80">
        <v>2007</v>
      </c>
      <c r="D80">
        <v>86.68</v>
      </c>
      <c r="E80">
        <v>187</v>
      </c>
      <c r="F80" t="s">
        <v>9</v>
      </c>
      <c r="G80" t="s">
        <v>41</v>
      </c>
      <c r="H80" t="str">
        <f t="shared" si="2"/>
        <v>Valid Parent</v>
      </c>
    </row>
    <row r="81" spans="1:8" x14ac:dyDescent="0.3">
      <c r="A81" t="s">
        <v>47</v>
      </c>
      <c r="B81" t="s">
        <v>43</v>
      </c>
      <c r="C81">
        <v>2008</v>
      </c>
      <c r="D81">
        <v>52.5</v>
      </c>
      <c r="E81">
        <v>165</v>
      </c>
      <c r="F81" t="s">
        <v>9</v>
      </c>
      <c r="H81" t="str">
        <f t="shared" si="2"/>
        <v>No Parent</v>
      </c>
    </row>
    <row r="82" spans="1:8" x14ac:dyDescent="0.3">
      <c r="A82" t="s">
        <v>111</v>
      </c>
      <c r="B82" t="s">
        <v>18</v>
      </c>
      <c r="C82">
        <v>2010</v>
      </c>
      <c r="D82">
        <v>71.12</v>
      </c>
      <c r="E82">
        <v>144</v>
      </c>
      <c r="F82" t="s">
        <v>9</v>
      </c>
      <c r="H82" t="str">
        <f t="shared" si="2"/>
        <v>No Parent</v>
      </c>
    </row>
    <row r="83" spans="1:8" x14ac:dyDescent="0.3">
      <c r="A83" t="s">
        <v>112</v>
      </c>
      <c r="B83" t="s">
        <v>8</v>
      </c>
      <c r="C83">
        <v>2011</v>
      </c>
      <c r="D83">
        <v>40.79</v>
      </c>
      <c r="E83">
        <v>142</v>
      </c>
      <c r="F83" t="s">
        <v>113</v>
      </c>
      <c r="H83" t="str">
        <f t="shared" si="2"/>
        <v>No Parent</v>
      </c>
    </row>
    <row r="84" spans="1:8" hidden="1" x14ac:dyDescent="0.3">
      <c r="A84" t="s">
        <v>91</v>
      </c>
      <c r="B84" t="s">
        <v>31</v>
      </c>
      <c r="C84">
        <v>2012</v>
      </c>
      <c r="D84">
        <v>45.39</v>
      </c>
      <c r="E84">
        <v>100</v>
      </c>
      <c r="F84" t="s">
        <v>9</v>
      </c>
      <c r="G84" t="s">
        <v>32</v>
      </c>
      <c r="H84" t="str">
        <f t="shared" si="2"/>
        <v>Valid Parent</v>
      </c>
    </row>
    <row r="85" spans="1:8" hidden="1" x14ac:dyDescent="0.3">
      <c r="A85" t="s">
        <v>29</v>
      </c>
      <c r="B85" t="s">
        <v>21</v>
      </c>
      <c r="C85">
        <v>2013</v>
      </c>
      <c r="D85">
        <v>98.79</v>
      </c>
      <c r="E85">
        <v>96</v>
      </c>
      <c r="F85" t="s">
        <v>9</v>
      </c>
      <c r="G85" t="s">
        <v>20</v>
      </c>
      <c r="H85" t="str">
        <f t="shared" si="2"/>
        <v>Valid Parent</v>
      </c>
    </row>
    <row r="86" spans="1:8" x14ac:dyDescent="0.3">
      <c r="A86" t="s">
        <v>27</v>
      </c>
      <c r="B86" t="s">
        <v>11</v>
      </c>
      <c r="C86">
        <v>2017</v>
      </c>
      <c r="D86">
        <v>4.54</v>
      </c>
      <c r="E86">
        <v>9</v>
      </c>
      <c r="F86" t="s">
        <v>9</v>
      </c>
      <c r="H86" t="str">
        <f t="shared" si="2"/>
        <v>No Parent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9B97-BECF-4588-AA62-C7BA1582F605}">
  <dimension ref="A3:B43"/>
  <sheetViews>
    <sheetView topLeftCell="A25" workbookViewId="0">
      <selection activeCell="A34" sqref="A34:B43"/>
    </sheetView>
  </sheetViews>
  <sheetFormatPr defaultRowHeight="14.4" x14ac:dyDescent="0.3"/>
  <cols>
    <col min="1" max="1" width="16" bestFit="1" customWidth="1"/>
    <col min="2" max="2" width="15.6640625" bestFit="1" customWidth="1"/>
  </cols>
  <sheetData>
    <row r="3" spans="1:2" x14ac:dyDescent="0.3">
      <c r="A3" s="4" t="s">
        <v>120</v>
      </c>
      <c r="B3" t="s">
        <v>122</v>
      </c>
    </row>
    <row r="4" spans="1:2" x14ac:dyDescent="0.3">
      <c r="A4" s="5" t="s">
        <v>45</v>
      </c>
      <c r="B4" s="6">
        <v>4</v>
      </c>
    </row>
    <row r="5" spans="1:2" x14ac:dyDescent="0.3">
      <c r="A5" s="5" t="s">
        <v>24</v>
      </c>
      <c r="B5" s="6">
        <v>6</v>
      </c>
    </row>
    <row r="6" spans="1:2" x14ac:dyDescent="0.3">
      <c r="A6" s="5" t="s">
        <v>43</v>
      </c>
      <c r="B6" s="6">
        <v>8</v>
      </c>
    </row>
    <row r="7" spans="1:2" x14ac:dyDescent="0.3">
      <c r="A7" s="5" t="s">
        <v>31</v>
      </c>
      <c r="B7" s="6">
        <v>8</v>
      </c>
    </row>
    <row r="8" spans="1:2" x14ac:dyDescent="0.3">
      <c r="A8" s="5" t="s">
        <v>11</v>
      </c>
      <c r="B8" s="6">
        <v>12</v>
      </c>
    </row>
    <row r="9" spans="1:2" x14ac:dyDescent="0.3">
      <c r="A9" s="5" t="s">
        <v>18</v>
      </c>
      <c r="B9" s="6">
        <v>17</v>
      </c>
    </row>
    <row r="10" spans="1:2" x14ac:dyDescent="0.3">
      <c r="A10" s="5" t="s">
        <v>58</v>
      </c>
      <c r="B10" s="6">
        <v>5</v>
      </c>
    </row>
    <row r="11" spans="1:2" x14ac:dyDescent="0.3">
      <c r="A11" s="5" t="s">
        <v>21</v>
      </c>
      <c r="B11" s="6">
        <v>7</v>
      </c>
    </row>
    <row r="12" spans="1:2" x14ac:dyDescent="0.3">
      <c r="A12" s="5" t="s">
        <v>8</v>
      </c>
      <c r="B12" s="6">
        <v>12</v>
      </c>
    </row>
    <row r="13" spans="1:2" x14ac:dyDescent="0.3">
      <c r="A13" s="5" t="s">
        <v>40</v>
      </c>
      <c r="B13" s="6">
        <v>6</v>
      </c>
    </row>
    <row r="14" spans="1:2" x14ac:dyDescent="0.3">
      <c r="A14" s="5" t="s">
        <v>121</v>
      </c>
      <c r="B14" s="6">
        <v>85</v>
      </c>
    </row>
    <row r="16" spans="1:2" x14ac:dyDescent="0.3">
      <c r="A16" s="4" t="s">
        <v>120</v>
      </c>
      <c r="B16" t="s">
        <v>122</v>
      </c>
    </row>
    <row r="17" spans="1:2" x14ac:dyDescent="0.3">
      <c r="A17" s="5" t="s">
        <v>97</v>
      </c>
      <c r="B17" s="6">
        <v>1</v>
      </c>
    </row>
    <row r="18" spans="1:2" x14ac:dyDescent="0.3">
      <c r="A18" s="5" t="s">
        <v>76</v>
      </c>
      <c r="B18" s="6">
        <v>1</v>
      </c>
    </row>
    <row r="19" spans="1:2" x14ac:dyDescent="0.3">
      <c r="A19" s="5" t="s">
        <v>113</v>
      </c>
      <c r="B19" s="6">
        <v>1</v>
      </c>
    </row>
    <row r="20" spans="1:2" x14ac:dyDescent="0.3">
      <c r="A20" s="5" t="s">
        <v>79</v>
      </c>
      <c r="B20" s="6">
        <v>1</v>
      </c>
    </row>
    <row r="21" spans="1:2" x14ac:dyDescent="0.3">
      <c r="A21" s="5" t="s">
        <v>52</v>
      </c>
      <c r="B21" s="6">
        <v>1</v>
      </c>
    </row>
    <row r="22" spans="1:2" x14ac:dyDescent="0.3">
      <c r="A22" s="5" t="s">
        <v>49</v>
      </c>
      <c r="B22" s="6">
        <v>1</v>
      </c>
    </row>
    <row r="23" spans="1:2" x14ac:dyDescent="0.3">
      <c r="A23" s="5" t="s">
        <v>74</v>
      </c>
      <c r="B23" s="6">
        <v>1</v>
      </c>
    </row>
    <row r="24" spans="1:2" x14ac:dyDescent="0.3">
      <c r="A24" s="5" t="s">
        <v>13</v>
      </c>
      <c r="B24" s="6">
        <v>1</v>
      </c>
    </row>
    <row r="25" spans="1:2" x14ac:dyDescent="0.3">
      <c r="A25" s="5" t="s">
        <v>62</v>
      </c>
      <c r="B25" s="6">
        <v>1</v>
      </c>
    </row>
    <row r="26" spans="1:2" x14ac:dyDescent="0.3">
      <c r="A26" s="5" t="s">
        <v>54</v>
      </c>
      <c r="B26" s="6">
        <v>1</v>
      </c>
    </row>
    <row r="27" spans="1:2" x14ac:dyDescent="0.3">
      <c r="A27" s="5" t="s">
        <v>86</v>
      </c>
      <c r="B27" s="6">
        <v>1</v>
      </c>
    </row>
    <row r="28" spans="1:2" x14ac:dyDescent="0.3">
      <c r="A28" s="5" t="s">
        <v>15</v>
      </c>
      <c r="B28" s="6">
        <v>1</v>
      </c>
    </row>
    <row r="29" spans="1:2" x14ac:dyDescent="0.3">
      <c r="A29" s="5" t="s">
        <v>101</v>
      </c>
      <c r="B29" s="6">
        <v>1</v>
      </c>
    </row>
    <row r="30" spans="1:2" x14ac:dyDescent="0.3">
      <c r="A30" s="5" t="s">
        <v>99</v>
      </c>
      <c r="B30" s="6">
        <v>1</v>
      </c>
    </row>
    <row r="31" spans="1:2" x14ac:dyDescent="0.3">
      <c r="A31" s="5" t="s">
        <v>9</v>
      </c>
      <c r="B31" s="6">
        <v>71</v>
      </c>
    </row>
    <row r="32" spans="1:2" x14ac:dyDescent="0.3">
      <c r="A32" s="5" t="s">
        <v>121</v>
      </c>
      <c r="B32" s="6">
        <v>85</v>
      </c>
    </row>
    <row r="34" spans="1:2" x14ac:dyDescent="0.3">
      <c r="A34" s="4" t="s">
        <v>120</v>
      </c>
      <c r="B34" t="s">
        <v>122</v>
      </c>
    </row>
    <row r="35" spans="1:2" x14ac:dyDescent="0.3">
      <c r="A35" s="5" t="s">
        <v>7</v>
      </c>
      <c r="B35" s="6">
        <v>4</v>
      </c>
    </row>
    <row r="36" spans="1:2" x14ac:dyDescent="0.3">
      <c r="A36" s="5" t="s">
        <v>20</v>
      </c>
      <c r="B36" s="6">
        <v>2</v>
      </c>
    </row>
    <row r="37" spans="1:2" x14ac:dyDescent="0.3">
      <c r="A37" s="5" t="s">
        <v>47</v>
      </c>
      <c r="B37" s="6">
        <v>2</v>
      </c>
    </row>
    <row r="38" spans="1:2" x14ac:dyDescent="0.3">
      <c r="A38" s="5" t="s">
        <v>32</v>
      </c>
      <c r="B38" s="6">
        <v>2</v>
      </c>
    </row>
    <row r="39" spans="1:2" x14ac:dyDescent="0.3">
      <c r="A39" s="5" t="s">
        <v>25</v>
      </c>
      <c r="B39" s="6">
        <v>1</v>
      </c>
    </row>
    <row r="40" spans="1:2" x14ac:dyDescent="0.3">
      <c r="A40" s="5" t="s">
        <v>41</v>
      </c>
      <c r="B40" s="6">
        <v>3</v>
      </c>
    </row>
    <row r="41" spans="1:2" x14ac:dyDescent="0.3">
      <c r="A41" s="5" t="s">
        <v>77</v>
      </c>
      <c r="B41" s="6">
        <v>1</v>
      </c>
    </row>
    <row r="42" spans="1:2" x14ac:dyDescent="0.3">
      <c r="A42" s="5" t="s">
        <v>127</v>
      </c>
      <c r="B42" s="6">
        <v>70</v>
      </c>
    </row>
    <row r="43" spans="1:2" x14ac:dyDescent="0.3">
      <c r="A43" s="5" t="s">
        <v>121</v>
      </c>
      <c r="B43" s="6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65C2-8064-4374-B8AE-1878E29E270C}">
  <dimension ref="A1:H14"/>
  <sheetViews>
    <sheetView workbookViewId="0">
      <selection activeCell="E1" sqref="E1:F14"/>
    </sheetView>
  </sheetViews>
  <sheetFormatPr defaultRowHeight="14.4" x14ac:dyDescent="0.3"/>
  <cols>
    <col min="1" max="1" width="14.77734375" bestFit="1" customWidth="1"/>
    <col min="2" max="2" width="10.5546875" bestFit="1" customWidth="1"/>
    <col min="3" max="3" width="7.33203125" bestFit="1" customWidth="1"/>
    <col min="5" max="5" width="13.88671875" bestFit="1" customWidth="1"/>
    <col min="6" max="6" width="14.33203125" bestFit="1" customWidth="1"/>
    <col min="8" max="8" width="14.77734375" bestFit="1" customWidth="1"/>
  </cols>
  <sheetData>
    <row r="1" spans="1:8" x14ac:dyDescent="0.3">
      <c r="A1" s="2" t="s">
        <v>117</v>
      </c>
      <c r="B1" s="2" t="s">
        <v>119</v>
      </c>
      <c r="C1" s="1" t="s">
        <v>118</v>
      </c>
      <c r="E1" s="8" t="s">
        <v>123</v>
      </c>
      <c r="F1" s="8" t="s">
        <v>124</v>
      </c>
    </row>
    <row r="2" spans="1:8" x14ac:dyDescent="0.3">
      <c r="A2" s="3" t="s">
        <v>0</v>
      </c>
      <c r="B2" s="3">
        <v>85</v>
      </c>
      <c r="C2">
        <f>COUNTBLANK(accounts!A2:A86)</f>
        <v>0</v>
      </c>
      <c r="E2" s="7">
        <f>MIN(accounts[employees])</f>
        <v>9</v>
      </c>
      <c r="F2" s="7">
        <f>MAX(accounts[employees])</f>
        <v>34288</v>
      </c>
      <c r="H2" s="3"/>
    </row>
    <row r="3" spans="1:8" x14ac:dyDescent="0.3">
      <c r="A3" s="3" t="s">
        <v>1</v>
      </c>
      <c r="B3" s="3">
        <v>85</v>
      </c>
      <c r="C3">
        <f>COUNTBLANK(accounts!B2:B86)</f>
        <v>0</v>
      </c>
      <c r="H3" s="3"/>
    </row>
    <row r="4" spans="1:8" x14ac:dyDescent="0.3">
      <c r="A4" s="3" t="s">
        <v>2</v>
      </c>
      <c r="B4" s="3">
        <v>85</v>
      </c>
      <c r="C4">
        <f>COUNTBLANK(accounts!C2:C86)</f>
        <v>0</v>
      </c>
      <c r="H4" s="3"/>
    </row>
    <row r="5" spans="1:8" x14ac:dyDescent="0.3">
      <c r="A5" s="3" t="s">
        <v>3</v>
      </c>
      <c r="B5" s="3">
        <v>85</v>
      </c>
      <c r="C5">
        <f>COUNTBLANK(accounts!D2:D86)</f>
        <v>0</v>
      </c>
      <c r="E5" s="8" t="s">
        <v>126</v>
      </c>
      <c r="F5" s="8" t="s">
        <v>125</v>
      </c>
      <c r="H5" s="3"/>
    </row>
    <row r="6" spans="1:8" x14ac:dyDescent="0.3">
      <c r="A6" s="3" t="s">
        <v>4</v>
      </c>
      <c r="B6" s="3">
        <v>85</v>
      </c>
      <c r="C6">
        <f>COUNTBLANK(accounts!E2:E86)</f>
        <v>0</v>
      </c>
      <c r="E6" s="7">
        <f>MIN(accounts[revenue])</f>
        <v>4.54</v>
      </c>
      <c r="F6" s="7">
        <f>MAX(accounts[revenue])</f>
        <v>11698.03</v>
      </c>
      <c r="H6" s="3"/>
    </row>
    <row r="7" spans="1:8" x14ac:dyDescent="0.3">
      <c r="A7" s="3" t="s">
        <v>5</v>
      </c>
      <c r="B7" s="3">
        <v>85</v>
      </c>
      <c r="C7">
        <f>COUNTBLANK(accounts!F2:F86)</f>
        <v>0</v>
      </c>
      <c r="H7" s="3"/>
    </row>
    <row r="8" spans="1:8" x14ac:dyDescent="0.3">
      <c r="A8" s="3" t="s">
        <v>6</v>
      </c>
      <c r="B8" s="3">
        <v>85</v>
      </c>
      <c r="C8">
        <f>COUNTBLANK(accounts!G2:G86)</f>
        <v>70</v>
      </c>
      <c r="H8" s="3"/>
    </row>
    <row r="9" spans="1:8" x14ac:dyDescent="0.3">
      <c r="E9" s="8" t="s">
        <v>128</v>
      </c>
      <c r="F9" s="8" t="s">
        <v>129</v>
      </c>
    </row>
    <row r="10" spans="1:8" x14ac:dyDescent="0.3">
      <c r="E10" s="7">
        <f>MIN(accounts[year_established])</f>
        <v>1979</v>
      </c>
      <c r="F10" s="7">
        <f>MAX(accounts[year_established])</f>
        <v>2017</v>
      </c>
    </row>
    <row r="13" spans="1:8" x14ac:dyDescent="0.3">
      <c r="E13" s="9" t="s">
        <v>131</v>
      </c>
      <c r="F13" s="7">
        <f>COUNTIF(accounts[year_established],"&gt;2026")</f>
        <v>0</v>
      </c>
    </row>
    <row r="14" spans="1:8" x14ac:dyDescent="0.3">
      <c r="E14" s="9" t="s">
        <v>130</v>
      </c>
      <c r="F14" s="7">
        <f>COUNTIF(accounts[year_established],"&lt;0")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</vt:lpstr>
      <vt:lpstr>pivot</vt:lpstr>
      <vt:lpstr>Data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 vijay</cp:lastModifiedBy>
  <dcterms:created xsi:type="dcterms:W3CDTF">2026-09-28T08:41:09Z</dcterms:created>
  <dcterms:modified xsi:type="dcterms:W3CDTF">2026-10-02T17:38:16Z</dcterms:modified>
</cp:coreProperties>
</file>